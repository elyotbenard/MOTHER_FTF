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Prog\findurtatoofest\"/>
    </mc:Choice>
  </mc:AlternateContent>
  <xr:revisionPtr revIDLastSave="0" documentId="13_ncr:1_{9C83ADD5-7064-40C8-8237-DAC26DA13D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xlnm._FilterDatabase" localSheetId="0" hidden="1">Feuil1!$A$1:$H$53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49" i="1"/>
  <c r="H3" i="1"/>
  <c r="H5" i="1"/>
  <c r="H6" i="1"/>
  <c r="H7" i="1"/>
  <c r="H8" i="1"/>
  <c r="H10" i="1"/>
  <c r="H11" i="1"/>
  <c r="H12" i="1"/>
  <c r="H13" i="1"/>
  <c r="H14" i="1"/>
  <c r="H15" i="1"/>
  <c r="H16" i="1"/>
  <c r="H17" i="1"/>
  <c r="H18" i="1"/>
  <c r="H21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0" i="1"/>
  <c r="H51" i="1"/>
  <c r="H52" i="1"/>
  <c r="H53" i="1"/>
  <c r="H4" i="1"/>
  <c r="H9" i="1"/>
  <c r="H19" i="1"/>
  <c r="H20" i="1"/>
  <c r="H31" i="1"/>
  <c r="AG11" i="1"/>
</calcChain>
</file>

<file path=xl/sharedStrings.xml><?xml version="1.0" encoding="utf-8"?>
<sst xmlns="http://schemas.openxmlformats.org/spreadsheetml/2006/main" count="333" uniqueCount="239">
  <si>
    <t>lat</t>
  </si>
  <si>
    <t>lng</t>
  </si>
  <si>
    <t>nom</t>
  </si>
  <si>
    <t>ville</t>
  </si>
  <si>
    <t>date</t>
  </si>
  <si>
    <t>image</t>
  </si>
  <si>
    <t>link</t>
  </si>
  <si>
    <t>Angers Tattoo Fest</t>
  </si>
  <si>
    <t>Angers</t>
  </si>
  <si>
    <t>3-4 Octobre 2026</t>
  </si>
  <si>
    <t>https://imgs.search.brave.com/YoZ8DTl9wJXq8U2vmqIgW1NeKzwnCYmbJNeiCUP-Tf8/rs:fit:500:0:1:0/g:ce/aHR0cHM6Ly80OS5h/Z2VuZGFjdWx0dXJl/bC5mci9tZWRpYS9l/Y0tva1BVWmRtRGpP/RTJvdjY5Vkp3L3N0/b3JhZ2UvMjAyNi82/YTU0YjNjODVkNzM5/LndlYnAvZml0PWNv/dmVyLHc9MzU1LGg9/MzgxLGY9YXV0byxn/PWF1dG8</t>
  </si>
  <si>
    <t>https://www.tattoo-fest.com/</t>
  </si>
  <si>
    <t>International LilleTattoo Convention</t>
  </si>
  <si>
    <t>Lille</t>
  </si>
  <si>
    <t>https://lille-tattoo-convention.com/</t>
  </si>
  <si>
    <t>Haguenau Tattoo Convention</t>
  </si>
  <si>
    <t>18-19 Septembre 2026</t>
  </si>
  <si>
    <t>https://cdntattoofilter.com/event/23559/l.jpg</t>
  </si>
  <si>
    <t>https://www.instagram.com/haguenau_tattoo_convention/</t>
  </si>
  <si>
    <t>Douvaine Tattoo Show</t>
  </si>
  <si>
    <t>Douvaine</t>
  </si>
  <si>
    <t>26-27 Septembre 2026</t>
  </si>
  <si>
    <t>https://cdntattoofilter.com/event/24059/s.jpg</t>
  </si>
  <si>
    <t>https://www.instagram.com/douvaine.tattooshow/</t>
  </si>
  <si>
    <t>7ème Univers Tattoo Convention</t>
  </si>
  <si>
    <t>La Motte-de-Galaure</t>
  </si>
  <si>
    <t>18-20 Septembre 2026</t>
  </si>
  <si>
    <t>45.1969</t>
  </si>
  <si>
    <t>4.9622</t>
  </si>
  <si>
    <t>https://cdntattoofilter.com/event/24402/s.jpg</t>
  </si>
  <si>
    <t>10ème Perigueux Tattoo Expo</t>
  </si>
  <si>
    <t>Marsac-sur-l'Isle</t>
  </si>
  <si>
    <t>2-4 Octobre 2026</t>
  </si>
  <si>
    <t>45.1883</t>
  </si>
  <si>
    <t>0.6547</t>
  </si>
  <si>
    <t>https://cdntattoofilter.com/event/24292/s.jpg</t>
  </si>
  <si>
    <t>https://www.instagram.com/perigueuxtattooexpo/?hl=fr</t>
  </si>
  <si>
    <t>Bret Ink Tattoo Convention</t>
  </si>
  <si>
    <t>Brétigny-sur-Orge</t>
  </si>
  <si>
    <t>48.6081</t>
  </si>
  <si>
    <t>2.3061</t>
  </si>
  <si>
    <t>https://cdntattoofilter.com/event/24290/s.jpg</t>
  </si>
  <si>
    <t>12éme Convention Tatouage de Bourges</t>
  </si>
  <si>
    <t>Bourges</t>
  </si>
  <si>
    <t>47.081</t>
  </si>
  <si>
    <t>2.3988</t>
  </si>
  <si>
    <t>https://cdntattoofilter.com/event/24082/s.jpg</t>
  </si>
  <si>
    <t>Saint-Lô Tattoo Convention 2026</t>
  </si>
  <si>
    <t>Saint-Lô</t>
  </si>
  <si>
    <t>49.1158</t>
  </si>
  <si>
    <t>-1.0903</t>
  </si>
  <si>
    <t>https://cdntattoofilter.com/event/24084/s.jpg</t>
  </si>
  <si>
    <t>https://unidivers.fr/event/saint-lo-tattoo-convention-saint-lo-manche-2026-10-03/</t>
  </si>
  <si>
    <t>La Maison d'Encre 2026</t>
  </si>
  <si>
    <t>Auch</t>
  </si>
  <si>
    <t>43.6464</t>
  </si>
  <si>
    <t>0.5857</t>
  </si>
  <si>
    <t>https://cdntattoofilter.com/event/24299/s.jpg</t>
  </si>
  <si>
    <t>Salon Du Tatouage De Saint Quentin En Yvelines 2026</t>
  </si>
  <si>
    <t>Montigny-le-Bretonneux</t>
  </si>
  <si>
    <t>48.7711</t>
  </si>
  <si>
    <t>2.0441</t>
  </si>
  <si>
    <t>https://cdntattoofilter.com/event/23493/s.jpg</t>
  </si>
  <si>
    <t>https://www.facebook.com/paris13tattooexpo/</t>
  </si>
  <si>
    <t>Nancy Ink Tattoo Show 2026</t>
  </si>
  <si>
    <t>Nancy</t>
  </si>
  <si>
    <t>48.6921</t>
  </si>
  <si>
    <t>6.1844</t>
  </si>
  <si>
    <t>https://cdntattoofilter.com/event/24305/s.jpg</t>
  </si>
  <si>
    <t>https://www.nancyinktattoo.fr/</t>
  </si>
  <si>
    <t>2nd Gerardmer Tattoo Convention</t>
  </si>
  <si>
    <t>Gérardmer</t>
  </si>
  <si>
    <t>48.0728</t>
  </si>
  <si>
    <t>6.8789</t>
  </si>
  <si>
    <t>https://cdntattoofilter.com/event/23495/s.jpg</t>
  </si>
  <si>
    <t>Magie des Ombres Tattoo Show 2026</t>
  </si>
  <si>
    <t>Lanvollon</t>
  </si>
  <si>
    <t>10-11 Octobre 2026</t>
  </si>
  <si>
    <t>48.63</t>
  </si>
  <si>
    <t>-2.9858</t>
  </si>
  <si>
    <t>https://cdntattoofilter.com/event/23469/s.jpg</t>
  </si>
  <si>
    <t>https://www.helloasso.com/associations/magie-des-ombres</t>
  </si>
  <si>
    <t>Barentin Tattoo Fest 2026</t>
  </si>
  <si>
    <t>Barentin</t>
  </si>
  <si>
    <t>49.5458</t>
  </si>
  <si>
    <t>0.9547</t>
  </si>
  <si>
    <t>https://cdntattoofilter.com/event/24321/s.jpg</t>
  </si>
  <si>
    <t>International Metz Tattoo Festival</t>
  </si>
  <si>
    <t>Metz</t>
  </si>
  <si>
    <t>49.11</t>
  </si>
  <si>
    <t>6.17</t>
  </si>
  <si>
    <t>https://imgs.search.brave.com/SmWgbri_-wVnId_fra2vY_Igr0-V97wvcq34lBItO8U/rs:fit:500:0:1:0/g:ce/aHR0cHM6Ly93d3cu/YmlsbGV0d2ViLmZy/L2ZpbGVzL3BhZ2Uv/dGh1bWIvbWV0ei10/YXR0b28tZmVzdGl2/YWwtMjAyNS5qcGc_/dj0xNzQzMjQ2NTAw</t>
  </si>
  <si>
    <t>https://metztattoofestival.com/</t>
  </si>
  <si>
    <t>6-7 Septembre 2026</t>
  </si>
  <si>
    <t>X</t>
  </si>
  <si>
    <t>3rd 49 Tattoo Expo</t>
  </si>
  <si>
    <t>Cholet</t>
  </si>
  <si>
    <t>29-30 Août 2026</t>
  </si>
  <si>
    <t>12ème Ink'n'roll Tattoo Festival</t>
  </si>
  <si>
    <t>Châteauroux</t>
  </si>
  <si>
    <t>4-6 Septembre 2026</t>
  </si>
  <si>
    <t>5-6 Septembre 2026</t>
  </si>
  <si>
    <t>Vesoul Tattoo Convention 2026</t>
  </si>
  <si>
    <t>Vesoul</t>
  </si>
  <si>
    <t>6ème Soissons Tattoo Convention</t>
  </si>
  <si>
    <t>Villeneuve-Saint-Germain</t>
  </si>
  <si>
    <t>20ème Convention de Tatouage Nantes</t>
  </si>
  <si>
    <t>Nantes</t>
  </si>
  <si>
    <t>11-13 Septembre 2026</t>
  </si>
  <si>
    <t>1st FairyInk Saint-Dié</t>
  </si>
  <si>
    <t>Saint-Dié-des-Vosges</t>
  </si>
  <si>
    <t>Jurass INK Parc 2026</t>
  </si>
  <si>
    <t>Lons-le-Saunier</t>
  </si>
  <si>
    <t>12-13 Septembre 2026</t>
  </si>
  <si>
    <t>Colmar Tattoo Fascht 2026</t>
  </si>
  <si>
    <t>Colmar</t>
  </si>
  <si>
    <t>Metz Tattoo Festival 2026</t>
  </si>
  <si>
    <t>5th Limoges Tattoo Show</t>
  </si>
  <si>
    <t>Limoges</t>
  </si>
  <si>
    <t>7th Convention d'Alençon Dentelle Ink</t>
  </si>
  <si>
    <t>Alençon</t>
  </si>
  <si>
    <t>Girl Ink Tattoo Show</t>
  </si>
  <si>
    <t>Ozoir-la-Ferrière</t>
  </si>
  <si>
    <t>Haguenau</t>
  </si>
  <si>
    <t>47.4784</t>
  </si>
  <si>
    <t>-0.5632</t>
  </si>
  <si>
    <t>7th European Tattoo Show Châlons-en-Champagne</t>
  </si>
  <si>
    <t>Châlons-en-Champagne</t>
  </si>
  <si>
    <t>16-18 Octobre 2026</t>
  </si>
  <si>
    <t>Caen Tattoo Festival 2026</t>
  </si>
  <si>
    <t>Caen</t>
  </si>
  <si>
    <t>23-25 Octobre 2026</t>
  </si>
  <si>
    <t>Nimes Tattoo Expo 2026</t>
  </si>
  <si>
    <t>Nîmes</t>
  </si>
  <si>
    <t>24-25 Octobre 2026</t>
  </si>
  <si>
    <t>11th Convention Tattoo Mulhouse</t>
  </si>
  <si>
    <t>Mulhouse</t>
  </si>
  <si>
    <t>10ème Tarn Tattoo Convention</t>
  </si>
  <si>
    <t>Le Sequestre</t>
  </si>
  <si>
    <t>31 Octobre - 1 Novembre 2026</t>
  </si>
  <si>
    <t>12ème Perpignan Tattoo Convention</t>
  </si>
  <si>
    <t>Perpignan</t>
  </si>
  <si>
    <t>7-8 Novembre 2026</t>
  </si>
  <si>
    <t>Cahors Tattoo &amp; Geek Show 2026</t>
  </si>
  <si>
    <t>Saint-Pierre-Lafeuille</t>
  </si>
  <si>
    <t>21-22 Novembre 2026</t>
  </si>
  <si>
    <t>Troyes Tattoo Convention 2026</t>
  </si>
  <si>
    <t>Troyes</t>
  </si>
  <si>
    <t>28-29 Novembre 2026</t>
  </si>
  <si>
    <t>Saint God Ink 2026</t>
  </si>
  <si>
    <t>Villeneuve-de-Rivière</t>
  </si>
  <si>
    <t>4-6 Décembre 2026</t>
  </si>
  <si>
    <t>19éme Tattoo Convention Toulouse</t>
  </si>
  <si>
    <t>Toulouse</t>
  </si>
  <si>
    <t>9-10 Janvier 2027</t>
  </si>
  <si>
    <t>10ème Decaz Tattoo Show</t>
  </si>
  <si>
    <t>Decazeville</t>
  </si>
  <si>
    <t>5-7 Février 2027</t>
  </si>
  <si>
    <t>9th Convention Tattoo Narbonne</t>
  </si>
  <si>
    <t>Narbonne</t>
  </si>
  <si>
    <t>6-7 Février 2027</t>
  </si>
  <si>
    <t>9ème Carcassonne Tattoo Convention</t>
  </si>
  <si>
    <t>Carcassonne</t>
  </si>
  <si>
    <t>5-7 Mars 2027</t>
  </si>
  <si>
    <t>Rouen Tattoo Festival 2027</t>
  </si>
  <si>
    <t>Le Grand-Quevilly</t>
  </si>
  <si>
    <t>16-18 Avril 2027</t>
  </si>
  <si>
    <t>Castel'Ink Tattoo Convention 2027</t>
  </si>
  <si>
    <t>Castelnaudary</t>
  </si>
  <si>
    <t>7-9 Mai 2027</t>
  </si>
  <si>
    <t>14ème Galactink Montpellier Tattoo Convention</t>
  </si>
  <si>
    <t>Pérols</t>
  </si>
  <si>
    <t>8-9 Mai 2027</t>
  </si>
  <si>
    <t>Paris Tattoo Festival 2027</t>
  </si>
  <si>
    <t>Paris</t>
  </si>
  <si>
    <t>10-12 Septembre 2027</t>
  </si>
  <si>
    <t>Ribeauvillé Tattoo Show 2027</t>
  </si>
  <si>
    <t>Ribeauvillé</t>
  </si>
  <si>
    <t>17-19 Septembre 2027</t>
  </si>
  <si>
    <t>degré</t>
  </si>
  <si>
    <t>minute</t>
  </si>
  <si>
    <t>=</t>
  </si>
  <si>
    <t>43.1836</t>
  </si>
  <si>
    <t>3.0042</t>
  </si>
  <si>
    <t>43.8367</t>
  </si>
  <si>
    <t>4.3601</t>
  </si>
  <si>
    <t>48.7620</t>
  </si>
  <si>
    <t>2.6730</t>
  </si>
  <si>
    <t>48.8566</t>
  </si>
  <si>
    <t>2.3522</t>
  </si>
  <si>
    <t>43.5647</t>
  </si>
  <si>
    <t>3.9533</t>
  </si>
  <si>
    <t>42.6986</t>
  </si>
  <si>
    <t>2.8956</t>
  </si>
  <si>
    <t>48.1947</t>
  </si>
  <si>
    <t>7.3183</t>
  </si>
  <si>
    <t>48.2850</t>
  </si>
  <si>
    <t>6.9492</t>
  </si>
  <si>
    <t>44.5122</t>
  </si>
  <si>
    <t>1.3992</t>
  </si>
  <si>
    <t>43.6047</t>
  </si>
  <si>
    <t>1.4442</t>
  </si>
  <si>
    <t>48.2973</t>
  </si>
  <si>
    <t>4.0744</t>
  </si>
  <si>
    <t>47.6198</t>
  </si>
  <si>
    <t>6.1543</t>
  </si>
  <si>
    <t>43.1256</t>
  </si>
  <si>
    <t>0.8206</t>
  </si>
  <si>
    <t>49.3786</t>
  </si>
  <si>
    <t>3.3553</t>
  </si>
  <si>
    <t>terminé</t>
  </si>
  <si>
    <t>43.5358</t>
  </si>
  <si>
    <t>6.4678</t>
  </si>
  <si>
    <t>Draguignan Tattoo Convention 2026</t>
  </si>
  <si>
    <t>Draguignan</t>
  </si>
  <si>
    <t>45.2919</t>
  </si>
  <si>
    <t>3.3850</t>
  </si>
  <si>
    <t>Brioude Tattoo Fest 2026</t>
  </si>
  <si>
    <t>Brioude</t>
  </si>
  <si>
    <t>45.9553</t>
  </si>
  <si>
    <t>2.1683</t>
  </si>
  <si>
    <t>16ème Creuse Tattoo</t>
  </si>
  <si>
    <t>Aubusson</t>
  </si>
  <si>
    <t>17-18 Octobre 2026</t>
  </si>
  <si>
    <t>46.4011</t>
  </si>
  <si>
    <t>6.5861</t>
  </si>
  <si>
    <t>17th Evian Tattoo Show</t>
  </si>
  <si>
    <t>Évian-les-Bains</t>
  </si>
  <si>
    <t>47.3941</t>
  </si>
  <si>
    <t>0.6848</t>
  </si>
  <si>
    <t>Tours Tattoo Show 2026</t>
  </si>
  <si>
    <t>Tours</t>
  </si>
  <si>
    <t>30 Octobre - 1 Novembre 2026</t>
  </si>
  <si>
    <t>43.7765</t>
  </si>
  <si>
    <t>7.5042</t>
  </si>
  <si>
    <t>3rd Menton Tattoo Expo</t>
  </si>
  <si>
    <t>Menton</t>
  </si>
  <si>
    <t>22-24 Janvier 2027</t>
  </si>
  <si>
    <t>https://cdntattoofilter.com/event/24102/s.jpg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</si>
</sst>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6E072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1"/>
    <xf numFmtId="0" fontId="2" fillId="0" borderId="0" xfId="1" applyAlignment="1">
      <alignment vertical="center"/>
    </xf>
  </cellXfs>
  <cellStyles count="2">
    <cellStyle name="Lien hypertexte" xfId="1" builtinId="8"/>
    <cellStyle name="Normal" xfId="0" builtinId="0"/>
  </cellStyles>
  <dxfs count="3">
    <dxf>
      <fill>
        <patternFill>
          <bgColor rgb="FFFFAFAF"/>
        </patternFill>
      </fill>
    </dxf>
    <dxf>
      <fill>
        <patternFill>
          <bgColor rgb="FFFFAFAF"/>
        </patternFill>
      </fill>
    </dxf>
    <dxf>
      <fill>
        <patternFill>
          <bgColor rgb="FFFFAFAF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ttoo-fest.com/" TargetMode="External"/><Relationship Id="rId1" Type="http://schemas.openxmlformats.org/officeDocument/2006/relationships/hyperlink" Target="https://cdntattoofilter.com/event/24290/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"/>
  <sheetViews>
    <sheetView tabSelected="1" workbookViewId="0">
      <selection activeCell="V40" sqref="V40"/>
    </sheetView>
  </sheetViews>
  <sheetFormatPr baseColWidth="10" defaultColWidth="9.140625" defaultRowHeight="15" x14ac:dyDescent="0.25"/>
  <cols>
    <col min="1" max="1" width="9.140625" customWidth="1"/>
    <col min="2" max="2" width="7.28515625" customWidth="1"/>
    <col min="3" max="3" width="29" customWidth="1"/>
    <col min="4" max="4" width="12.7109375" customWidth="1"/>
    <col min="5" max="5" width="27.7109375" customWidth="1"/>
    <col min="6" max="6" width="16.28515625" customWidth="1"/>
    <col min="7" max="7" width="16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210</v>
      </c>
    </row>
    <row r="2" spans="1:33" x14ac:dyDescent="0.25">
      <c r="A2">
        <v>48.416666666666664</v>
      </c>
      <c r="B2">
        <v>8.3333333333333329E-2</v>
      </c>
      <c r="C2" t="s">
        <v>119</v>
      </c>
      <c r="D2" t="s">
        <v>120</v>
      </c>
      <c r="E2" t="s">
        <v>113</v>
      </c>
      <c r="F2" t="s">
        <v>94</v>
      </c>
      <c r="G2" t="s">
        <v>94</v>
      </c>
      <c r="H2" t="str">
        <f ca="1">IF(DATEVALUE(MID(E2, FIND("-", E2) + 1, LEN(E2))) &lt; TODAY(), "1", "0")</f>
        <v>1</v>
      </c>
    </row>
    <row r="3" spans="1:33" x14ac:dyDescent="0.25">
      <c r="A3" t="s">
        <v>124</v>
      </c>
      <c r="B3" t="s">
        <v>125</v>
      </c>
      <c r="C3" t="s">
        <v>7</v>
      </c>
      <c r="D3" t="s">
        <v>8</v>
      </c>
      <c r="E3" t="s">
        <v>9</v>
      </c>
      <c r="F3" s="2" t="s">
        <v>10</v>
      </c>
      <c r="G3" s="4" t="s">
        <v>11</v>
      </c>
      <c r="H3" t="str">
        <f ca="1">IF(DATEVALUE(MID(E3, FIND("-", E3) + 1, LEN(E3))) &lt; TODAY(), "1", "0")</f>
        <v>0</v>
      </c>
    </row>
    <row r="4" spans="1:33" x14ac:dyDescent="0.25">
      <c r="A4" t="s">
        <v>219</v>
      </c>
      <c r="B4" t="s">
        <v>220</v>
      </c>
      <c r="C4" t="s">
        <v>221</v>
      </c>
      <c r="D4" t="s">
        <v>222</v>
      </c>
      <c r="E4" t="s">
        <v>223</v>
      </c>
      <c r="F4" t="s">
        <v>94</v>
      </c>
      <c r="G4" t="s">
        <v>94</v>
      </c>
      <c r="H4" t="str">
        <f ca="1">IF(DATEVALUE(MID(E4, FIND("-", E4) + 1, LEN(E4))) &lt; TODAY(), "1", "0")</f>
        <v>0</v>
      </c>
    </row>
    <row r="5" spans="1:33" x14ac:dyDescent="0.25">
      <c r="A5" t="s">
        <v>55</v>
      </c>
      <c r="B5" t="s">
        <v>56</v>
      </c>
      <c r="C5" t="s">
        <v>53</v>
      </c>
      <c r="D5" t="s">
        <v>54</v>
      </c>
      <c r="E5" t="s">
        <v>9</v>
      </c>
      <c r="F5" t="s">
        <v>57</v>
      </c>
      <c r="H5" t="str">
        <f ca="1">IF(DATEVALUE(MID(E5, FIND("-", E5) + 1, LEN(E5))) &lt; TODAY(), "1", "0")</f>
        <v>0</v>
      </c>
    </row>
    <row r="6" spans="1:33" x14ac:dyDescent="0.25">
      <c r="A6" t="s">
        <v>84</v>
      </c>
      <c r="B6" t="s">
        <v>85</v>
      </c>
      <c r="C6" t="s">
        <v>82</v>
      </c>
      <c r="D6" t="s">
        <v>83</v>
      </c>
      <c r="E6" t="s">
        <v>77</v>
      </c>
      <c r="F6" t="s">
        <v>86</v>
      </c>
      <c r="H6" t="str">
        <f ca="1">IF(DATEVALUE(MID(E6, FIND("-", E6) + 1, LEN(E6))) &lt; TODAY(), "1", "0")</f>
        <v>0</v>
      </c>
    </row>
    <row r="7" spans="1:33" x14ac:dyDescent="0.25">
      <c r="A7" t="s">
        <v>44</v>
      </c>
      <c r="B7" t="s">
        <v>45</v>
      </c>
      <c r="C7" t="s">
        <v>42</v>
      </c>
      <c r="D7" t="s">
        <v>43</v>
      </c>
      <c r="E7" t="s">
        <v>9</v>
      </c>
      <c r="F7" t="s">
        <v>46</v>
      </c>
      <c r="H7" t="str">
        <f ca="1">IF(DATEVALUE(MID(E7, FIND("-", E7) + 1, LEN(E7))) &lt; TODAY(), "1", "0")</f>
        <v>0</v>
      </c>
    </row>
    <row r="8" spans="1:33" x14ac:dyDescent="0.25">
      <c r="A8" t="s">
        <v>39</v>
      </c>
      <c r="B8" t="s">
        <v>40</v>
      </c>
      <c r="C8" t="s">
        <v>37</v>
      </c>
      <c r="D8" t="s">
        <v>38</v>
      </c>
      <c r="E8" t="s">
        <v>32</v>
      </c>
      <c r="F8" s="3" t="s">
        <v>41</v>
      </c>
      <c r="H8" t="str">
        <f ca="1">IF(DATEVALUE(MID(E8, FIND("-", E8) + 1, LEN(E8))) &lt; TODAY(), "1", "0")</f>
        <v>0</v>
      </c>
    </row>
    <row r="9" spans="1:33" x14ac:dyDescent="0.25">
      <c r="A9" t="s">
        <v>215</v>
      </c>
      <c r="B9" t="s">
        <v>216</v>
      </c>
      <c r="C9" t="s">
        <v>217</v>
      </c>
      <c r="D9" t="s">
        <v>218</v>
      </c>
      <c r="E9" t="s">
        <v>77</v>
      </c>
      <c r="F9" t="s">
        <v>94</v>
      </c>
      <c r="G9" t="s">
        <v>94</v>
      </c>
      <c r="H9" t="str">
        <f ca="1">IF(DATEVALUE(MID(E9, FIND("-", E9) + 1, LEN(E9))) &lt; TODAY(), "1", "0")</f>
        <v>0</v>
      </c>
    </row>
    <row r="10" spans="1:33" x14ac:dyDescent="0.25">
      <c r="A10">
        <v>49.166666666666664</v>
      </c>
      <c r="B10">
        <v>0.36666666666666664</v>
      </c>
      <c r="C10" t="s">
        <v>129</v>
      </c>
      <c r="D10" t="s">
        <v>130</v>
      </c>
      <c r="E10" t="s">
        <v>131</v>
      </c>
      <c r="F10" t="s">
        <v>238</v>
      </c>
      <c r="G10" t="s">
        <v>94</v>
      </c>
      <c r="H10" t="str">
        <f ca="1">IF(DATEVALUE(MID(E10, FIND("-", E10) + 1, LEN(E10))) &lt; TODAY(), "1", "0")</f>
        <v>0</v>
      </c>
      <c r="AD10" s="1" t="s">
        <v>179</v>
      </c>
      <c r="AE10" s="1" t="s">
        <v>180</v>
      </c>
      <c r="AF10" s="1" t="s">
        <v>181</v>
      </c>
      <c r="AG10" s="1" t="s">
        <v>179</v>
      </c>
    </row>
    <row r="11" spans="1:33" x14ac:dyDescent="0.25">
      <c r="A11">
        <v>43.2</v>
      </c>
      <c r="B11">
        <v>2.35</v>
      </c>
      <c r="C11" t="s">
        <v>161</v>
      </c>
      <c r="D11" t="s">
        <v>162</v>
      </c>
      <c r="E11" t="s">
        <v>163</v>
      </c>
      <c r="F11" t="s">
        <v>94</v>
      </c>
      <c r="G11" t="s">
        <v>94</v>
      </c>
      <c r="H11" t="str">
        <f ca="1">IF(DATEVALUE(MID(E11, FIND("-", E11) + 1, LEN(E11))) &lt; TODAY(), "1", "0")</f>
        <v>0</v>
      </c>
      <c r="AD11">
        <v>0</v>
      </c>
      <c r="AE11">
        <v>5</v>
      </c>
      <c r="AG11">
        <f>AD11+(AE11/60)</f>
        <v>8.3333333333333329E-2</v>
      </c>
    </row>
    <row r="12" spans="1:33" x14ac:dyDescent="0.25">
      <c r="A12">
        <v>43.31666666666667</v>
      </c>
      <c r="B12">
        <v>1.95</v>
      </c>
      <c r="C12" t="s">
        <v>167</v>
      </c>
      <c r="D12" t="s">
        <v>168</v>
      </c>
      <c r="E12" t="s">
        <v>169</v>
      </c>
      <c r="F12" t="s">
        <v>94</v>
      </c>
      <c r="G12" t="s">
        <v>94</v>
      </c>
      <c r="H12" t="str">
        <f ca="1">IF(DATEVALUE(MID(E12, FIND("-", E12) + 1, LEN(E12))) &lt; TODAY(), "1", "0")</f>
        <v>0</v>
      </c>
    </row>
    <row r="13" spans="1:33" x14ac:dyDescent="0.25">
      <c r="A13">
        <v>48.95</v>
      </c>
      <c r="B13">
        <v>4.3499999999999996</v>
      </c>
      <c r="C13" t="s">
        <v>126</v>
      </c>
      <c r="D13" t="s">
        <v>127</v>
      </c>
      <c r="E13" t="s">
        <v>128</v>
      </c>
      <c r="F13" t="s">
        <v>94</v>
      </c>
      <c r="G13" t="s">
        <v>94</v>
      </c>
      <c r="H13" t="str">
        <f ca="1">IF(DATEVALUE(MID(E13, FIND("-", E13) + 1, LEN(E13))) &lt; TODAY(), "1", "0")</f>
        <v>0</v>
      </c>
    </row>
    <row r="14" spans="1:33" x14ac:dyDescent="0.25">
      <c r="A14">
        <v>46.8</v>
      </c>
      <c r="B14">
        <v>1.6833333333333333</v>
      </c>
      <c r="C14" t="s">
        <v>98</v>
      </c>
      <c r="D14" t="s">
        <v>99</v>
      </c>
      <c r="E14" t="s">
        <v>100</v>
      </c>
      <c r="F14" t="s">
        <v>94</v>
      </c>
      <c r="G14" t="s">
        <v>94</v>
      </c>
      <c r="H14" t="str">
        <f ca="1">IF(DATEVALUE(MID(E14, FIND("-", E14) + 1, LEN(E14))) &lt; TODAY(), "1", "0")</f>
        <v>1</v>
      </c>
    </row>
    <row r="15" spans="1:33" x14ac:dyDescent="0.25">
      <c r="A15">
        <v>47.05</v>
      </c>
      <c r="B15">
        <v>0.8666666666666667</v>
      </c>
      <c r="C15" t="s">
        <v>95</v>
      </c>
      <c r="D15" t="s">
        <v>96</v>
      </c>
      <c r="E15" t="s">
        <v>97</v>
      </c>
      <c r="F15" t="s">
        <v>94</v>
      </c>
      <c r="G15" t="s">
        <v>94</v>
      </c>
      <c r="H15" t="str">
        <f ca="1">IF(DATEVALUE(MID(E15, FIND("-", E15) + 1, LEN(E15))) &lt; TODAY(), "1", "0")</f>
        <v>1</v>
      </c>
    </row>
    <row r="16" spans="1:33" x14ac:dyDescent="0.25">
      <c r="A16">
        <v>48.06666666666667</v>
      </c>
      <c r="B16">
        <v>7.35</v>
      </c>
      <c r="C16" t="s">
        <v>114</v>
      </c>
      <c r="D16" t="s">
        <v>115</v>
      </c>
      <c r="E16" t="s">
        <v>113</v>
      </c>
      <c r="F16" t="s">
        <v>94</v>
      </c>
      <c r="G16" t="s">
        <v>94</v>
      </c>
      <c r="H16" t="str">
        <f ca="1">IF(DATEVALUE(MID(E16, FIND("-", E16) + 1, LEN(E16))) &lt; TODAY(), "1", "0")</f>
        <v>1</v>
      </c>
    </row>
    <row r="17" spans="1:8" x14ac:dyDescent="0.25">
      <c r="A17">
        <v>44.55</v>
      </c>
      <c r="B17">
        <v>2.25</v>
      </c>
      <c r="C17" t="s">
        <v>155</v>
      </c>
      <c r="D17" t="s">
        <v>156</v>
      </c>
      <c r="E17" t="s">
        <v>157</v>
      </c>
      <c r="F17" t="s">
        <v>94</v>
      </c>
      <c r="G17" t="s">
        <v>94</v>
      </c>
      <c r="H17" t="str">
        <f ca="1">IF(DATEVALUE(MID(E17, FIND("-", E17) + 1, LEN(E17))) &lt; TODAY(), "1", "0")</f>
        <v>0</v>
      </c>
    </row>
    <row r="18" spans="1:8" x14ac:dyDescent="0.25">
      <c r="A18">
        <v>46.3</v>
      </c>
      <c r="B18">
        <v>6.3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tr">
        <f ca="1">IF(DATEVALUE(MID(E18, FIND("-", E18) + 1, LEN(E18))) &lt; TODAY(), "1", "0")</f>
        <v>0</v>
      </c>
    </row>
    <row r="19" spans="1:8" x14ac:dyDescent="0.25">
      <c r="A19" t="s">
        <v>211</v>
      </c>
      <c r="B19" t="s">
        <v>212</v>
      </c>
      <c r="C19" t="s">
        <v>213</v>
      </c>
      <c r="D19" t="s">
        <v>214</v>
      </c>
      <c r="E19" t="s">
        <v>77</v>
      </c>
      <c r="F19" t="s">
        <v>94</v>
      </c>
      <c r="G19" t="s">
        <v>94</v>
      </c>
      <c r="H19" t="str">
        <f ca="1">IF(DATEVALUE(MID(E19, FIND("-", E19) + 1, LEN(E19))) &lt; TODAY(), "1", "0")</f>
        <v>0</v>
      </c>
    </row>
    <row r="20" spans="1:8" x14ac:dyDescent="0.25">
      <c r="A20" t="s">
        <v>224</v>
      </c>
      <c r="B20" t="s">
        <v>225</v>
      </c>
      <c r="C20" t="s">
        <v>226</v>
      </c>
      <c r="D20" t="s">
        <v>227</v>
      </c>
      <c r="E20" t="s">
        <v>131</v>
      </c>
      <c r="F20" t="s">
        <v>94</v>
      </c>
      <c r="G20" t="s">
        <v>94</v>
      </c>
      <c r="H20" t="str">
        <f ca="1">IF(DATEVALUE(MID(E20, FIND("-", E20) + 1, LEN(E20))) &lt; TODAY(), "1", "0")</f>
        <v>0</v>
      </c>
    </row>
    <row r="21" spans="1:8" x14ac:dyDescent="0.25">
      <c r="A21" t="s">
        <v>72</v>
      </c>
      <c r="B21" t="s">
        <v>73</v>
      </c>
      <c r="C21" t="s">
        <v>70</v>
      </c>
      <c r="D21" t="s">
        <v>71</v>
      </c>
      <c r="E21" t="s">
        <v>9</v>
      </c>
      <c r="F21" t="s">
        <v>74</v>
      </c>
      <c r="H21" t="str">
        <f ca="1">IF(DATEVALUE(MID(E21, FIND("-", E21) + 1, LEN(E21))) &lt; TODAY(), "1", "0")</f>
        <v>0</v>
      </c>
    </row>
    <row r="22" spans="1:8" x14ac:dyDescent="0.25">
      <c r="A22">
        <v>48.817</v>
      </c>
      <c r="B22">
        <v>7.78</v>
      </c>
      <c r="C22" t="s">
        <v>15</v>
      </c>
      <c r="D22" t="s">
        <v>123</v>
      </c>
      <c r="E22" t="s">
        <v>16</v>
      </c>
      <c r="F22" t="s">
        <v>17</v>
      </c>
      <c r="G22" t="s">
        <v>18</v>
      </c>
      <c r="H22" t="str">
        <f ca="1">IF(DATEVALUE(MID(E22, FIND("-", E22) + 1, LEN(E22))) &lt; TODAY(), "1", "0")</f>
        <v>1</v>
      </c>
    </row>
    <row r="23" spans="1:8" x14ac:dyDescent="0.25">
      <c r="A23" t="s">
        <v>27</v>
      </c>
      <c r="B23" t="s">
        <v>28</v>
      </c>
      <c r="C23" t="s">
        <v>24</v>
      </c>
      <c r="D23" t="s">
        <v>25</v>
      </c>
      <c r="E23" t="s">
        <v>26</v>
      </c>
      <c r="F23" t="s">
        <v>29</v>
      </c>
      <c r="H23" t="str">
        <f ca="1">IF(DATEVALUE(MID(E23, FIND("-", E23) + 1, LEN(E23))) &lt; TODAY(), "1", "0")</f>
        <v>1</v>
      </c>
    </row>
    <row r="24" spans="1:8" x14ac:dyDescent="0.25">
      <c r="A24" t="s">
        <v>78</v>
      </c>
      <c r="B24" t="s">
        <v>79</v>
      </c>
      <c r="C24" t="s">
        <v>75</v>
      </c>
      <c r="D24" t="s">
        <v>76</v>
      </c>
      <c r="E24" t="s">
        <v>77</v>
      </c>
      <c r="F24" t="s">
        <v>80</v>
      </c>
      <c r="G24" t="s">
        <v>81</v>
      </c>
      <c r="H24" t="str">
        <f ca="1">IF(DATEVALUE(MID(E24, FIND("-", E24) + 1, LEN(E24))) &lt; TODAY(), "1", "0")</f>
        <v>0</v>
      </c>
    </row>
    <row r="25" spans="1:8" x14ac:dyDescent="0.25">
      <c r="A25">
        <v>49.4</v>
      </c>
      <c r="B25">
        <v>1.05</v>
      </c>
      <c r="C25" t="s">
        <v>164</v>
      </c>
      <c r="D25" t="s">
        <v>165</v>
      </c>
      <c r="E25" t="s">
        <v>166</v>
      </c>
      <c r="F25" t="s">
        <v>94</v>
      </c>
      <c r="G25" t="s">
        <v>94</v>
      </c>
      <c r="H25" t="str">
        <f ca="1">IF(DATEVALUE(MID(E25, FIND("-", E25) + 1, LEN(E25))) &lt; TODAY(), "1", "0")</f>
        <v>0</v>
      </c>
    </row>
    <row r="26" spans="1:8" x14ac:dyDescent="0.25">
      <c r="A26">
        <v>43.916666666666664</v>
      </c>
      <c r="B26">
        <v>2.0833333333333335</v>
      </c>
      <c r="C26" t="s">
        <v>137</v>
      </c>
      <c r="D26" t="s">
        <v>138</v>
      </c>
      <c r="E26" t="s">
        <v>139</v>
      </c>
      <c r="F26" t="s">
        <v>94</v>
      </c>
      <c r="G26" t="s">
        <v>94</v>
      </c>
      <c r="H26" t="str">
        <f ca="1">IF(DATEVALUE(MID(E26, FIND("-", E26) + 1, LEN(E26))) &lt; TODAY(), "1", "0")</f>
        <v>0</v>
      </c>
    </row>
    <row r="27" spans="1:8" x14ac:dyDescent="0.25">
      <c r="A27">
        <v>50.63</v>
      </c>
      <c r="B27">
        <v>3.0579999999999998</v>
      </c>
      <c r="C27" t="s">
        <v>12</v>
      </c>
      <c r="D27" t="s">
        <v>13</v>
      </c>
      <c r="E27" t="s">
        <v>237</v>
      </c>
      <c r="G27" t="s">
        <v>14</v>
      </c>
      <c r="H27" t="str">
        <f ca="1">IF(DATEVALUE(MID(E27, FIND("-", E27) + 1, LEN(E27))) &lt; TODAY(), "1", "0")</f>
        <v>0</v>
      </c>
    </row>
    <row r="28" spans="1:8" x14ac:dyDescent="0.25">
      <c r="A28">
        <v>45.85</v>
      </c>
      <c r="B28">
        <v>1.25</v>
      </c>
      <c r="C28" t="s">
        <v>117</v>
      </c>
      <c r="D28" t="s">
        <v>118</v>
      </c>
      <c r="E28" t="s">
        <v>113</v>
      </c>
      <c r="F28" t="s">
        <v>94</v>
      </c>
      <c r="G28" t="s">
        <v>94</v>
      </c>
      <c r="H28" t="str">
        <f ca="1">IF(DATEVALUE(MID(E28, FIND("-", E28) + 1, LEN(E28))) &lt; TODAY(), "1", "0")</f>
        <v>1</v>
      </c>
    </row>
    <row r="29" spans="1:8" x14ac:dyDescent="0.25">
      <c r="A29">
        <v>46.666666666666664</v>
      </c>
      <c r="B29">
        <v>5.55</v>
      </c>
      <c r="C29" t="s">
        <v>111</v>
      </c>
      <c r="D29" t="s">
        <v>112</v>
      </c>
      <c r="E29" t="s">
        <v>113</v>
      </c>
      <c r="F29" t="s">
        <v>94</v>
      </c>
      <c r="G29" t="s">
        <v>94</v>
      </c>
      <c r="H29" t="str">
        <f ca="1">IF(DATEVALUE(MID(E29, FIND("-", E29) + 1, LEN(E29))) &lt; TODAY(), "1", "0")</f>
        <v>1</v>
      </c>
    </row>
    <row r="30" spans="1:8" x14ac:dyDescent="0.25">
      <c r="A30" t="s">
        <v>33</v>
      </c>
      <c r="B30" t="s">
        <v>34</v>
      </c>
      <c r="C30" t="s">
        <v>30</v>
      </c>
      <c r="D30" t="s">
        <v>31</v>
      </c>
      <c r="E30" t="s">
        <v>32</v>
      </c>
      <c r="F30" t="s">
        <v>35</v>
      </c>
      <c r="G30" t="s">
        <v>36</v>
      </c>
      <c r="H30" t="str">
        <f ca="1">IF(DATEVALUE(MID(E30, FIND("-", E30) + 1, LEN(E30))) &lt; TODAY(), "1", "0")</f>
        <v>0</v>
      </c>
    </row>
    <row r="31" spans="1:8" x14ac:dyDescent="0.25">
      <c r="A31" t="s">
        <v>233</v>
      </c>
      <c r="B31" t="s">
        <v>234</v>
      </c>
      <c r="C31" t="s">
        <v>235</v>
      </c>
      <c r="D31" t="s">
        <v>236</v>
      </c>
      <c r="E31" t="s">
        <v>139</v>
      </c>
      <c r="F31" t="s">
        <v>94</v>
      </c>
      <c r="G31" t="s">
        <v>94</v>
      </c>
      <c r="H31" t="str">
        <f ca="1">IF(DATEVALUE(MID(E31, FIND("-", E31) + 1, LEN(E31))) &lt; TODAY(), "1", "0")</f>
        <v>0</v>
      </c>
    </row>
    <row r="32" spans="1:8" x14ac:dyDescent="0.25">
      <c r="A32" t="s">
        <v>89</v>
      </c>
      <c r="B32" t="s">
        <v>90</v>
      </c>
      <c r="C32" t="s">
        <v>87</v>
      </c>
      <c r="D32" t="s">
        <v>88</v>
      </c>
      <c r="E32" t="s">
        <v>93</v>
      </c>
      <c r="F32" t="s">
        <v>91</v>
      </c>
      <c r="G32" t="s">
        <v>92</v>
      </c>
      <c r="H32" t="str">
        <f ca="1">IF(DATEVALUE(MID(E32, FIND("-", E32) + 1, LEN(E32))) &lt; TODAY(), "1", "0")</f>
        <v>1</v>
      </c>
    </row>
    <row r="33" spans="1:8" x14ac:dyDescent="0.25">
      <c r="A33" t="s">
        <v>89</v>
      </c>
      <c r="B33" t="s">
        <v>90</v>
      </c>
      <c r="C33" t="s">
        <v>116</v>
      </c>
      <c r="D33" t="s">
        <v>88</v>
      </c>
      <c r="E33" t="s">
        <v>113</v>
      </c>
      <c r="F33" t="s">
        <v>94</v>
      </c>
      <c r="G33" t="s">
        <v>94</v>
      </c>
      <c r="H33" t="str">
        <f ca="1">IF(DATEVALUE(MID(E33, FIND("-", E33) + 1, LEN(E33))) &lt; TODAY(), "1", "0")</f>
        <v>1</v>
      </c>
    </row>
    <row r="34" spans="1:8" x14ac:dyDescent="0.25">
      <c r="A34" t="s">
        <v>60</v>
      </c>
      <c r="B34" t="s">
        <v>61</v>
      </c>
      <c r="C34" t="s">
        <v>58</v>
      </c>
      <c r="D34" t="s">
        <v>59</v>
      </c>
      <c r="E34" t="s">
        <v>9</v>
      </c>
      <c r="F34" t="s">
        <v>62</v>
      </c>
      <c r="G34" t="s">
        <v>63</v>
      </c>
      <c r="H34" t="str">
        <f ca="1">IF(DATEVALUE(MID(E34, FIND("-", E34) + 1, LEN(E34))) &lt; TODAY(), "1", "0")</f>
        <v>0</v>
      </c>
    </row>
    <row r="35" spans="1:8" x14ac:dyDescent="0.25">
      <c r="A35">
        <v>47.733333333333334</v>
      </c>
      <c r="B35">
        <v>7.333333333333333</v>
      </c>
      <c r="C35" t="s">
        <v>135</v>
      </c>
      <c r="D35" t="s">
        <v>136</v>
      </c>
      <c r="E35" t="s">
        <v>134</v>
      </c>
      <c r="F35" t="s">
        <v>94</v>
      </c>
      <c r="G35" t="s">
        <v>94</v>
      </c>
      <c r="H35" t="str">
        <f ca="1">IF(DATEVALUE(MID(E35, FIND("-", E35) + 1, LEN(E35))) &lt; TODAY(), "1", "0")</f>
        <v>0</v>
      </c>
    </row>
    <row r="36" spans="1:8" x14ac:dyDescent="0.25">
      <c r="A36" t="s">
        <v>66</v>
      </c>
      <c r="B36" t="s">
        <v>67</v>
      </c>
      <c r="C36" t="s">
        <v>64</v>
      </c>
      <c r="D36" t="s">
        <v>65</v>
      </c>
      <c r="E36" t="s">
        <v>9</v>
      </c>
      <c r="F36" t="s">
        <v>68</v>
      </c>
      <c r="G36" t="s">
        <v>69</v>
      </c>
      <c r="H36" t="str">
        <f ca="1">IF(DATEVALUE(MID(E36, FIND("-", E36) + 1, LEN(E36))) &lt; TODAY(), "1", "0")</f>
        <v>0</v>
      </c>
    </row>
    <row r="37" spans="1:8" x14ac:dyDescent="0.25">
      <c r="A37">
        <v>47.216666666666669</v>
      </c>
      <c r="B37">
        <v>1.55</v>
      </c>
      <c r="C37" t="s">
        <v>106</v>
      </c>
      <c r="D37" t="s">
        <v>107</v>
      </c>
      <c r="E37" t="s">
        <v>108</v>
      </c>
      <c r="F37" t="s">
        <v>94</v>
      </c>
      <c r="G37" t="s">
        <v>94</v>
      </c>
      <c r="H37" t="str">
        <f ca="1">IF(DATEVALUE(MID(E37, FIND("-", E37) + 1, LEN(E37))) &lt; TODAY(), "1", "0")</f>
        <v>1</v>
      </c>
    </row>
    <row r="38" spans="1:8" x14ac:dyDescent="0.25">
      <c r="A38" t="s">
        <v>182</v>
      </c>
      <c r="B38" t="s">
        <v>183</v>
      </c>
      <c r="C38" t="s">
        <v>158</v>
      </c>
      <c r="D38" t="s">
        <v>159</v>
      </c>
      <c r="E38" t="s">
        <v>160</v>
      </c>
      <c r="F38" t="s">
        <v>94</v>
      </c>
      <c r="G38" t="s">
        <v>94</v>
      </c>
      <c r="H38" t="str">
        <f ca="1">IF(DATEVALUE(MID(E38, FIND("-", E38) + 1, LEN(E38))) &lt; TODAY(), "1", "0")</f>
        <v>0</v>
      </c>
    </row>
    <row r="39" spans="1:8" x14ac:dyDescent="0.25">
      <c r="A39" t="s">
        <v>184</v>
      </c>
      <c r="B39" t="s">
        <v>185</v>
      </c>
      <c r="C39" t="s">
        <v>132</v>
      </c>
      <c r="D39" t="s">
        <v>133</v>
      </c>
      <c r="E39" t="s">
        <v>134</v>
      </c>
      <c r="F39" t="s">
        <v>94</v>
      </c>
      <c r="G39" t="s">
        <v>94</v>
      </c>
      <c r="H39" t="str">
        <f ca="1">IF(DATEVALUE(MID(E39, FIND("-", E39) + 1, LEN(E39))) &lt; TODAY(), "1", "0")</f>
        <v>0</v>
      </c>
    </row>
    <row r="40" spans="1:8" x14ac:dyDescent="0.25">
      <c r="A40" t="s">
        <v>186</v>
      </c>
      <c r="B40" t="s">
        <v>187</v>
      </c>
      <c r="C40" t="s">
        <v>121</v>
      </c>
      <c r="D40" t="s">
        <v>122</v>
      </c>
      <c r="E40" t="s">
        <v>113</v>
      </c>
      <c r="F40" t="s">
        <v>94</v>
      </c>
      <c r="G40" t="s">
        <v>94</v>
      </c>
      <c r="H40" t="str">
        <f ca="1">IF(DATEVALUE(MID(E40, FIND("-", E40) + 1, LEN(E40))) &lt; TODAY(), "1", "0")</f>
        <v>1</v>
      </c>
    </row>
    <row r="41" spans="1:8" x14ac:dyDescent="0.25">
      <c r="A41" t="s">
        <v>188</v>
      </c>
      <c r="B41" t="s">
        <v>189</v>
      </c>
      <c r="C41" t="s">
        <v>173</v>
      </c>
      <c r="D41" t="s">
        <v>174</v>
      </c>
      <c r="E41" t="s">
        <v>175</v>
      </c>
      <c r="F41" t="s">
        <v>94</v>
      </c>
      <c r="G41" t="s">
        <v>94</v>
      </c>
      <c r="H41" t="str">
        <f ca="1">IF(DATEVALUE(MID(E41, FIND("-", E41) + 1, LEN(E41))) &lt; TODAY(), "1", "0")</f>
        <v>0</v>
      </c>
    </row>
    <row r="42" spans="1:8" x14ac:dyDescent="0.25">
      <c r="A42" t="s">
        <v>190</v>
      </c>
      <c r="B42" t="s">
        <v>191</v>
      </c>
      <c r="C42" t="s">
        <v>170</v>
      </c>
      <c r="D42" t="s">
        <v>171</v>
      </c>
      <c r="E42" t="s">
        <v>172</v>
      </c>
      <c r="F42" t="s">
        <v>94</v>
      </c>
      <c r="G42" t="s">
        <v>94</v>
      </c>
      <c r="H42" t="str">
        <f ca="1">IF(DATEVALUE(MID(E42, FIND("-", E42) + 1, LEN(E42))) &lt; TODAY(), "1", "0")</f>
        <v>0</v>
      </c>
    </row>
    <row r="43" spans="1:8" x14ac:dyDescent="0.25">
      <c r="A43" t="s">
        <v>192</v>
      </c>
      <c r="B43" t="s">
        <v>193</v>
      </c>
      <c r="C43" t="s">
        <v>140</v>
      </c>
      <c r="D43" t="s">
        <v>141</v>
      </c>
      <c r="E43" t="s">
        <v>142</v>
      </c>
      <c r="F43" t="s">
        <v>94</v>
      </c>
      <c r="G43" t="s">
        <v>94</v>
      </c>
      <c r="H43" t="str">
        <f ca="1">IF(DATEVALUE(MID(E43, FIND("-", E43) + 1, LEN(E43))) &lt; TODAY(), "1", "0")</f>
        <v>0</v>
      </c>
    </row>
    <row r="44" spans="1:8" x14ac:dyDescent="0.25">
      <c r="A44" t="s">
        <v>194</v>
      </c>
      <c r="B44" t="s">
        <v>195</v>
      </c>
      <c r="C44" t="s">
        <v>176</v>
      </c>
      <c r="D44" t="s">
        <v>177</v>
      </c>
      <c r="E44" t="s">
        <v>178</v>
      </c>
      <c r="F44" t="s">
        <v>94</v>
      </c>
      <c r="G44" t="s">
        <v>94</v>
      </c>
      <c r="H44" t="str">
        <f ca="1">IF(DATEVALUE(MID(E44, FIND("-", E44) + 1, LEN(E44))) &lt; TODAY(), "1", "0")</f>
        <v>0</v>
      </c>
    </row>
    <row r="45" spans="1:8" x14ac:dyDescent="0.25">
      <c r="A45" t="s">
        <v>196</v>
      </c>
      <c r="B45" t="s">
        <v>197</v>
      </c>
      <c r="C45" t="s">
        <v>109</v>
      </c>
      <c r="D45" t="s">
        <v>110</v>
      </c>
      <c r="E45" t="s">
        <v>108</v>
      </c>
      <c r="F45" t="s">
        <v>94</v>
      </c>
      <c r="G45" t="s">
        <v>94</v>
      </c>
      <c r="H45" t="str">
        <f ca="1">IF(DATEVALUE(MID(E45, FIND("-", E45) + 1, LEN(E45))) &lt; TODAY(), "1", "0")</f>
        <v>1</v>
      </c>
    </row>
    <row r="46" spans="1:8" x14ac:dyDescent="0.25">
      <c r="A46" t="s">
        <v>49</v>
      </c>
      <c r="B46" t="s">
        <v>50</v>
      </c>
      <c r="C46" t="s">
        <v>47</v>
      </c>
      <c r="D46" t="s">
        <v>48</v>
      </c>
      <c r="E46" t="s">
        <v>9</v>
      </c>
      <c r="F46" t="s">
        <v>51</v>
      </c>
      <c r="G46" t="s">
        <v>52</v>
      </c>
      <c r="H46" t="str">
        <f ca="1">IF(DATEVALUE(MID(E46, FIND("-", E46) + 1, LEN(E46))) &lt; TODAY(), "1", "0")</f>
        <v>0</v>
      </c>
    </row>
    <row r="47" spans="1:8" x14ac:dyDescent="0.25">
      <c r="A47" t="s">
        <v>198</v>
      </c>
      <c r="B47" t="s">
        <v>199</v>
      </c>
      <c r="C47" t="s">
        <v>143</v>
      </c>
      <c r="D47" t="s">
        <v>144</v>
      </c>
      <c r="E47" t="s">
        <v>145</v>
      </c>
      <c r="F47" t="s">
        <v>94</v>
      </c>
      <c r="G47" t="s">
        <v>94</v>
      </c>
      <c r="H47" t="str">
        <f ca="1">IF(DATEVALUE(MID(E47, FIND("-", E47) + 1, LEN(E47))) &lt; TODAY(), "1", "0")</f>
        <v>0</v>
      </c>
    </row>
    <row r="48" spans="1:8" x14ac:dyDescent="0.25">
      <c r="A48" t="s">
        <v>200</v>
      </c>
      <c r="B48" t="s">
        <v>201</v>
      </c>
      <c r="C48" t="s">
        <v>152</v>
      </c>
      <c r="D48" t="s">
        <v>153</v>
      </c>
      <c r="E48" t="s">
        <v>154</v>
      </c>
      <c r="F48" t="s">
        <v>94</v>
      </c>
      <c r="G48" t="s">
        <v>94</v>
      </c>
      <c r="H48" t="str">
        <f ca="1">IF(DATEVALUE(MID(E48, FIND("-", E48) + 1, LEN(E48))) &lt; TODAY(), "1", "0")</f>
        <v>0</v>
      </c>
    </row>
    <row r="49" spans="1:8" x14ac:dyDescent="0.25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94</v>
      </c>
      <c r="G49" t="s">
        <v>94</v>
      </c>
      <c r="H49" t="str">
        <f ca="1">IF(DATEVALUE(MID(E49, FIND("-", E49) + 1, LEN(E49))) &lt; TODAY(), "1", "0")</f>
        <v>0</v>
      </c>
    </row>
    <row r="50" spans="1:8" x14ac:dyDescent="0.25">
      <c r="A50" t="s">
        <v>202</v>
      </c>
      <c r="B50" t="s">
        <v>203</v>
      </c>
      <c r="C50" t="s">
        <v>146</v>
      </c>
      <c r="D50" t="s">
        <v>147</v>
      </c>
      <c r="E50" t="s">
        <v>148</v>
      </c>
      <c r="F50" t="s">
        <v>94</v>
      </c>
      <c r="G50" t="s">
        <v>94</v>
      </c>
      <c r="H50" t="str">
        <f ca="1">IF(DATEVALUE(MID(E50, FIND("-", E50) + 1, LEN(E50))) &lt; TODAY(), "1", "0")</f>
        <v>0</v>
      </c>
    </row>
    <row r="51" spans="1:8" x14ac:dyDescent="0.25">
      <c r="A51" t="s">
        <v>204</v>
      </c>
      <c r="B51" t="s">
        <v>205</v>
      </c>
      <c r="C51" t="s">
        <v>102</v>
      </c>
      <c r="D51" t="s">
        <v>103</v>
      </c>
      <c r="E51" t="s">
        <v>101</v>
      </c>
      <c r="F51" t="s">
        <v>94</v>
      </c>
      <c r="G51" t="s">
        <v>94</v>
      </c>
      <c r="H51" t="str">
        <f ca="1">IF(DATEVALUE(MID(E51, FIND("-", E51) + 1, LEN(E51))) &lt; TODAY(), "1", "0")</f>
        <v>1</v>
      </c>
    </row>
    <row r="52" spans="1:8" x14ac:dyDescent="0.25">
      <c r="A52" t="s">
        <v>206</v>
      </c>
      <c r="B52" t="s">
        <v>207</v>
      </c>
      <c r="C52" t="s">
        <v>149</v>
      </c>
      <c r="D52" t="s">
        <v>150</v>
      </c>
      <c r="E52" t="s">
        <v>151</v>
      </c>
      <c r="F52" t="s">
        <v>94</v>
      </c>
      <c r="G52" t="s">
        <v>94</v>
      </c>
      <c r="H52" t="str">
        <f ca="1">IF(DATEVALUE(MID(E52, FIND("-", E52) + 1, LEN(E52))) &lt; TODAY(), "1", "0")</f>
        <v>0</v>
      </c>
    </row>
    <row r="53" spans="1:8" x14ac:dyDescent="0.25">
      <c r="A53" t="s">
        <v>208</v>
      </c>
      <c r="B53" t="s">
        <v>209</v>
      </c>
      <c r="C53" t="s">
        <v>104</v>
      </c>
      <c r="D53" t="s">
        <v>105</v>
      </c>
      <c r="E53" t="s">
        <v>101</v>
      </c>
      <c r="F53" t="s">
        <v>94</v>
      </c>
      <c r="G53" t="s">
        <v>94</v>
      </c>
      <c r="H53" t="str">
        <f ca="1">IF(DATEVALUE(MID(E53, FIND("-", E53) + 1, LEN(E53))) &lt; TODAY(), "1", "0")</f>
        <v>1</v>
      </c>
    </row>
  </sheetData>
  <autoFilter ref="A1:H53" xr:uid="{00000000-0001-0000-0000-000000000000}">
    <sortState xmlns:xlrd2="http://schemas.microsoft.com/office/spreadsheetml/2017/richdata2" ref="A2:H53">
      <sortCondition ref="D1:D53"/>
    </sortState>
  </autoFilter>
  <sortState xmlns:xlrd2="http://schemas.microsoft.com/office/spreadsheetml/2017/richdata2" ref="K1:Q52">
    <sortCondition ref="N1:N52"/>
  </sortState>
  <conditionalFormatting sqref="A2:H603">
    <cfRule type="expression" dxfId="1" priority="1">
      <formula>$H2="1"</formula>
    </cfRule>
  </conditionalFormatting>
  <hyperlinks>
    <hyperlink ref="F8" r:id="rId1" xr:uid="{8949251C-F097-413F-8798-5AF22F525293}"/>
    <hyperlink ref="G3" r:id="rId2" xr:uid="{6969ADC2-A53E-435D-8A40-B685216ABF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Elyot Ben</dc:creator>
  <cp:lastModifiedBy>elyot24benard@orange.fr</cp:lastModifiedBy>
  <dcterms:created xsi:type="dcterms:W3CDTF">2015-06-05T18:19:34Z</dcterms:created>
  <dcterms:modified xsi:type="dcterms:W3CDTF">2026-09-22T21:35:33Z</dcterms:modified>
</cp:coreProperties>
</file>